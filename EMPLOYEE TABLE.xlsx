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tel\Documents\"/>
    </mc:Choice>
  </mc:AlternateContent>
  <xr:revisionPtr revIDLastSave="0" documentId="13_ncr:1_{50F8F0F8-42B3-4DC9-BF57-5C4CA4E80B0E}" xr6:coauthVersionLast="47" xr6:coauthVersionMax="47" xr10:uidLastSave="{00000000-0000-0000-0000-000000000000}"/>
  <bookViews>
    <workbookView xWindow="10035" yWindow="1560" windowWidth="10455" windowHeight="7785" firstSheet="1" activeTab="3" xr2:uid="{143A08A7-A2F5-420B-A912-E5345DBE80CE}"/>
  </bookViews>
  <sheets>
    <sheet name="Sheet1" sheetId="1" r:id="rId1"/>
    <sheet name="Sheet2" sheetId="2" r:id="rId2"/>
    <sheet name="Sheet3" sheetId="3" r:id="rId3"/>
    <sheet name="v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G2" i="3"/>
  <c r="G3" i="3"/>
  <c r="G4" i="3"/>
  <c r="G5" i="3"/>
  <c r="G6" i="3"/>
  <c r="G7" i="3"/>
  <c r="G8" i="3"/>
  <c r="G9" i="3"/>
  <c r="G10" i="3"/>
  <c r="G11" i="3"/>
  <c r="F2" i="3"/>
  <c r="F3" i="3"/>
  <c r="F4" i="3"/>
  <c r="F5" i="3"/>
  <c r="F6" i="3"/>
  <c r="F7" i="3"/>
  <c r="F8" i="3"/>
  <c r="F9" i="3"/>
  <c r="F10" i="3"/>
  <c r="F11" i="3"/>
  <c r="K15" i="2"/>
  <c r="K14" i="2"/>
  <c r="K13" i="2"/>
  <c r="K12" i="2"/>
  <c r="P2" i="2" a="1"/>
  <c r="P2" i="2" s="1"/>
  <c r="P3" i="2" a="1"/>
  <c r="P3" i="2" s="1"/>
  <c r="P4" i="2" a="1"/>
  <c r="P4" i="2" s="1"/>
  <c r="P5" i="2" a="1"/>
  <c r="P5" i="2" s="1"/>
  <c r="P6" i="2" a="1"/>
  <c r="P6" i="2"/>
  <c r="P7" i="2" a="1"/>
  <c r="P7" i="2" s="1"/>
  <c r="P8" i="2" a="1"/>
  <c r="P8" i="2" s="1"/>
  <c r="P9" i="2" a="1"/>
  <c r="P9" i="2" s="1"/>
  <c r="P10" i="2" a="1"/>
  <c r="P10" i="2" s="1"/>
  <c r="P11" i="2" a="1"/>
  <c r="P11" i="2" s="1"/>
  <c r="O2" i="2"/>
  <c r="O3" i="2"/>
  <c r="O4" i="2"/>
  <c r="O5" i="2"/>
  <c r="O6" i="2"/>
  <c r="O7" i="2"/>
  <c r="O8" i="2"/>
  <c r="O9" i="2"/>
  <c r="O10" i="2"/>
  <c r="O11" i="2"/>
  <c r="N2" i="2"/>
  <c r="N3" i="2"/>
  <c r="N4" i="2"/>
  <c r="N5" i="2"/>
  <c r="N6" i="2"/>
  <c r="N7" i="2"/>
  <c r="N8" i="2"/>
  <c r="N9" i="2"/>
  <c r="N10" i="2"/>
  <c r="N11" i="2"/>
  <c r="L2" i="2"/>
  <c r="L3" i="2"/>
  <c r="L4" i="2"/>
  <c r="L5" i="2"/>
  <c r="L6" i="2"/>
  <c r="L7" i="2"/>
  <c r="L8" i="2"/>
  <c r="L9" i="2"/>
  <c r="L10" i="2"/>
  <c r="L11" i="2"/>
  <c r="M2" i="2"/>
  <c r="M3" i="2"/>
  <c r="M4" i="2"/>
  <c r="M5" i="2"/>
  <c r="M6" i="2"/>
  <c r="M7" i="2"/>
  <c r="M8" i="2"/>
  <c r="M9" i="2"/>
  <c r="M10" i="2"/>
  <c r="M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<sst xmlns="http://schemas.openxmlformats.org/spreadsheetml/2006/main" count="273" uniqueCount="63">
  <si>
    <t>sr.no.</t>
  </si>
  <si>
    <t>NAME</t>
  </si>
  <si>
    <t>PALLAVI TARONE</t>
  </si>
  <si>
    <t>RUTUJA BHAGAT</t>
  </si>
  <si>
    <t>TUSHAR ZADE</t>
  </si>
  <si>
    <t>CHANCHAL GOKHE</t>
  </si>
  <si>
    <t>BUNTY KORE</t>
  </si>
  <si>
    <t>AYUSH BHISE</t>
  </si>
  <si>
    <t>VAIBHAV SALVE</t>
  </si>
  <si>
    <t>TANUSHRI MORE</t>
  </si>
  <si>
    <t>KALYANI SHENDE</t>
  </si>
  <si>
    <t>SWATI DANGE</t>
  </si>
  <si>
    <t>OFFICE ID</t>
  </si>
  <si>
    <t>GENDER</t>
  </si>
  <si>
    <t>FEMALE</t>
  </si>
  <si>
    <t>MALE</t>
  </si>
  <si>
    <t>EDUCATION</t>
  </si>
  <si>
    <t>BACHELOR'S DEGREE</t>
  </si>
  <si>
    <t>POSTGRADUATE DEGREE</t>
  </si>
  <si>
    <t>HIGH SCHOOL</t>
  </si>
  <si>
    <t>JOB STATUS</t>
  </si>
  <si>
    <t>FULL TIME</t>
  </si>
  <si>
    <t>PART TIME</t>
  </si>
  <si>
    <t>HOME OFFICE</t>
  </si>
  <si>
    <t>FIRST NAME</t>
  </si>
  <si>
    <t>LAST NAME</t>
  </si>
  <si>
    <t>PALLAVI</t>
  </si>
  <si>
    <t>RUTUJA</t>
  </si>
  <si>
    <t>TUSHAR</t>
  </si>
  <si>
    <t>CHANCHAL</t>
  </si>
  <si>
    <t>BUNTY</t>
  </si>
  <si>
    <t>AYUSH</t>
  </si>
  <si>
    <t>VAIBHAV</t>
  </si>
  <si>
    <t>TANUSHRI</t>
  </si>
  <si>
    <t>KALYANI</t>
  </si>
  <si>
    <t>SWATI</t>
  </si>
  <si>
    <t>TARONE</t>
  </si>
  <si>
    <t>BHAGAT</t>
  </si>
  <si>
    <t>ZADE</t>
  </si>
  <si>
    <t>GOKHE</t>
  </si>
  <si>
    <t>KORE</t>
  </si>
  <si>
    <t>BHISE</t>
  </si>
  <si>
    <t>SALVE</t>
  </si>
  <si>
    <t>MORE</t>
  </si>
  <si>
    <t>SHENDE</t>
  </si>
  <si>
    <t>DANGE</t>
  </si>
  <si>
    <t>ATTEDENCE</t>
  </si>
  <si>
    <t>SALLARY</t>
  </si>
  <si>
    <t>BONUS</t>
  </si>
  <si>
    <t>SALARY</t>
  </si>
  <si>
    <t>SALARY LEVEL</t>
  </si>
  <si>
    <t>NEW BONUS</t>
  </si>
  <si>
    <t>FINAL LEVEL</t>
  </si>
  <si>
    <t>FINAL SALARY 2</t>
  </si>
  <si>
    <t>DEPARTMENT</t>
  </si>
  <si>
    <t>IT</t>
  </si>
  <si>
    <t>HR</t>
  </si>
  <si>
    <t>MARKETING</t>
  </si>
  <si>
    <t>SALES</t>
  </si>
  <si>
    <t>FINANCE</t>
  </si>
  <si>
    <t>APPLY CONCAT</t>
  </si>
  <si>
    <t>APPLY LEN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</si>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</sst>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right"/>
    </xf>
    <xf numFmtId="0" fontId="0" fillId="3" borderId="3" xfId="0" applyFont="1" applyFill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0" xfId="0" applyFont="1" applyFill="1" applyBorder="1" applyAlignment="1">
      <alignment horizontal="right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i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i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i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i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i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i val="0"/>
      </font>
      <alignment horizontal="righ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i val="0"/>
      </font>
      <alignment horizontal="righ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i val="0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72258-5C9A-4E2E-B6D7-DE0DD5258D6E}" name="Table1" displayName="Table1" ref="A1:J11" totalsRowShown="0" headerRowDxfId="55" dataDxfId="54" tableBorderDxfId="53">
  <autoFilter ref="A1:J11" xr:uid="{42072258-5C9A-4E2E-B6D7-DE0DD5258D6E}"/>
  <sortState xmlns:xlrd2="http://schemas.microsoft.com/office/spreadsheetml/2017/richdata2" ref="A2:I11">
    <sortCondition descending="1" ref="I1:I11"/>
  </sortState>
  <tableColumns count="10">
    <tableColumn id="1" xr3:uid="{DF1979EB-FC2E-4760-B38F-2CD6C56E47C5}" name="sr.no." dataDxfId="52"/>
    <tableColumn id="2" xr3:uid="{D956D1CD-CE0E-45CB-9A08-957FA9C169F4}" name="NAME" dataDxfId="51"/>
    <tableColumn id="10" xr3:uid="{B1BA8540-AB72-44EC-80BE-79779BF8C85E}" name="FIRST NAME" dataDxfId="50"/>
    <tableColumn id="9" xr3:uid="{0CC9208F-7127-407E-A05C-DD487E1BCC10}" name="LAST NAME" dataDxfId="49"/>
    <tableColumn id="3" xr3:uid="{5BED0C2D-E25B-4EC0-802D-814E89EF4C47}" name="OFFICE ID" dataDxfId="48"/>
    <tableColumn id="4" xr3:uid="{FCA78375-6DEB-4970-9ED6-0912BC58EB20}" name="GENDER" dataDxfId="47"/>
    <tableColumn id="5" xr3:uid="{FB7B1656-5A6F-4A96-A6BF-DEF9EC6B94C5}" name="EDUCATION" dataDxfId="46"/>
    <tableColumn id="6" xr3:uid="{F0A486B2-BDFC-4C90-B47D-4D1FE1C3D5B2}" name="JOB STATUS" dataDxfId="45"/>
    <tableColumn id="11" xr3:uid="{3FD3AD15-628E-440C-9952-768AF75BD5AD}" name="ATTEDENCE" dataDxfId="44"/>
    <tableColumn id="7" xr3:uid="{9CA48752-3115-441B-80C0-F16663EC9877}" name="SALLARY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605F61-67B5-4DBD-A5CC-B21A661ADAE2}" name="Table13" displayName="Table13" ref="A1:P12" totalsRowCount="1" headerRowDxfId="42" dataDxfId="41" tableBorderDxfId="40">
  <autoFilter ref="A1:P11" xr:uid="{C6605F61-67B5-4DBD-A5CC-B21A661ADAE2}"/>
  <sortState xmlns:xlrd2="http://schemas.microsoft.com/office/spreadsheetml/2017/richdata2" ref="A2:J11">
    <sortCondition descending="1" ref="J1:J11"/>
  </sortState>
  <tableColumns count="16">
    <tableColumn id="1" xr3:uid="{A01A6F09-9C4F-4430-A530-2D6BA27F273E}" name="sr.no." dataDxfId="39" totalsRowDxfId="38"/>
    <tableColumn id="2" xr3:uid="{2BA04444-0517-405E-8FD0-6A5456DDD412}" name="NAME" dataDxfId="37" totalsRowDxfId="36"/>
    <tableColumn id="10" xr3:uid="{0DF2747E-E616-4D4A-A3EC-07F3C1FF81F5}" name="FIRST NAME" dataDxfId="35" totalsRowDxfId="34"/>
    <tableColumn id="9" xr3:uid="{5ABC744A-E346-4084-A607-86ED70411BF9}" name="LAST NAME" dataDxfId="33" totalsRowDxfId="32"/>
    <tableColumn id="3" xr3:uid="{CDF85E06-09D0-4F84-8313-29C1C73170E4}" name="OFFICE ID" dataDxfId="31" totalsRowDxfId="30"/>
    <tableColumn id="4" xr3:uid="{8A992EB8-27E9-438F-966E-EC290600811C}" name="GENDER" dataDxfId="29" totalsRowDxfId="28"/>
    <tableColumn id="18" xr3:uid="{F7B6F93E-05F5-42C6-890D-5F0B06858FA5}" name="DEPARTMENT" dataDxfId="27" totalsRowDxfId="26"/>
    <tableColumn id="5" xr3:uid="{6FB2DA4B-A54D-4DBB-BF29-CB6A802B97C9}" name="EDUCATION" dataDxfId="25" totalsRowDxfId="24"/>
    <tableColumn id="6" xr3:uid="{678B2B48-65C6-4CAA-AD8B-A5F65516E0D9}" name="JOB STATUS" dataDxfId="23" totalsRowDxfId="22"/>
    <tableColumn id="11" xr3:uid="{06EA8BD3-C477-4C07-AAF7-F2ABF0AD94F1}" name="ATTEDENCE" dataDxfId="21" totalsRowDxfId="20"/>
    <tableColumn id="7" xr3:uid="{42DA6215-3DFA-4E9A-B055-CD847285D91D}" name="SALARY" totalsRowFunction="custom" dataDxfId="19" totalsRowDxfId="18">
      <totalsRowFormula>SUM(Table13[SALARY])</totalsRowFormula>
    </tableColumn>
    <tableColumn id="12" xr3:uid="{47C27CE9-9FBB-4F1D-892B-FF9BDFD5F0F6}" name="BONUS" dataDxfId="17" totalsRowDxfId="16">
      <calculatedColumnFormula>Table13[[#This Row],[SALARY]]*$L$14</calculatedColumnFormula>
    </tableColumn>
    <tableColumn id="13" xr3:uid="{B38776C4-D895-456D-8352-8D0C4E04B9A9}" name="SALARY LEVEL" dataDxfId="15" totalsRowDxfId="14">
      <calculatedColumnFormula>IF(Table13[[#This Row],[SALARY]]&gt;70000,"HIGH SALARY","LOW SALARY")</calculatedColumnFormula>
    </tableColumn>
    <tableColumn id="15" xr3:uid="{15A45188-B23E-49C0-8846-5BAA339EE82E}" name="NEW BONUS" dataDxfId="13" totalsRowDxfId="12">
      <calculatedColumnFormula>IF(Table13[[#This Row],[SALARY]]*$L$14,Table13[[#This Row],[SALARY]]*$L$15)</calculatedColumnFormula>
    </tableColumn>
    <tableColumn id="16" xr3:uid="{FB06CBE6-16FA-4A69-AA52-B1D1FAB7A901}" name="FINAL LEVEL" dataDxfId="11" totalsRowDxfId="10">
      <calculatedColumnFormula>IF(Table13[[#This Row],[SALARY]]&gt;120000,"EXTREME HIGHEST SALARY",IF(Table13[[#This Row],[SALARY]]&gt;10000,"HIGH SALARY",IF(Table13[[#This Row],[SALARY]]&gt;80000,"MODERATE SALARY",IF(Table13[[#This Row],[SALARY]]&gt;60000,"LOW MODERATE SALARY","BELOW SALARY"))))</calculatedColumnFormula>
    </tableColumn>
    <tableColumn id="17" xr3:uid="{E7EEED4E-1A13-4FAC-8B39-2D9F45DEEF95}" name="FINAL SALARY 2" dataDxfId="9" totalsRowDxfId="8">
      <calculatedColumnFormula array="1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2AA1-940A-43A5-B83B-3C3B9F35822B}">
  <dimension ref="A1:K11"/>
  <sheetViews>
    <sheetView zoomScaleNormal="100" workbookViewId="0">
      <selection activeCell="E18" sqref="E18"/>
    </sheetView>
  </sheetViews>
  <sheetFormatPr defaultRowHeight="15" x14ac:dyDescent="0.25"/>
  <cols>
    <col min="1" max="1" width="11" bestFit="1" customWidth="1"/>
    <col min="2" max="2" width="17.5703125" bestFit="1" customWidth="1"/>
    <col min="3" max="4" width="17.5703125" customWidth="1"/>
    <col min="5" max="5" width="14.5703125" bestFit="1" customWidth="1"/>
    <col min="6" max="6" width="13.5703125" bestFit="1" customWidth="1"/>
    <col min="7" max="7" width="22.7109375" bestFit="1" customWidth="1"/>
    <col min="8" max="8" width="17.140625" bestFit="1" customWidth="1"/>
    <col min="9" max="9" width="14.140625" bestFit="1" customWidth="1"/>
    <col min="10" max="11" width="14.7109375" customWidth="1"/>
  </cols>
  <sheetData>
    <row r="1" spans="1:11" ht="15.75" x14ac:dyDescent="0.25">
      <c r="A1" s="2" t="s">
        <v>0</v>
      </c>
      <c r="B1" s="2" t="s">
        <v>1</v>
      </c>
      <c r="C1" s="2" t="s">
        <v>24</v>
      </c>
      <c r="D1" s="2" t="s">
        <v>25</v>
      </c>
      <c r="E1" s="2" t="s">
        <v>12</v>
      </c>
      <c r="F1" s="2" t="s">
        <v>13</v>
      </c>
      <c r="G1" s="2" t="s">
        <v>16</v>
      </c>
      <c r="H1" s="2" t="s">
        <v>20</v>
      </c>
      <c r="I1" s="2" t="s">
        <v>46</v>
      </c>
      <c r="J1" s="2" t="s">
        <v>47</v>
      </c>
      <c r="K1" s="3"/>
    </row>
    <row r="2" spans="1:11" x14ac:dyDescent="0.25">
      <c r="A2" s="1">
        <v>6</v>
      </c>
      <c r="B2" s="1" t="s">
        <v>7</v>
      </c>
      <c r="C2" s="1" t="s">
        <v>31</v>
      </c>
      <c r="D2" s="1" t="s">
        <v>41</v>
      </c>
      <c r="E2" s="1">
        <v>67890</v>
      </c>
      <c r="F2" s="1" t="s">
        <v>15</v>
      </c>
      <c r="G2" s="1" t="s">
        <v>19</v>
      </c>
      <c r="H2" s="1" t="s">
        <v>22</v>
      </c>
      <c r="I2" s="1">
        <v>98</v>
      </c>
      <c r="J2" s="1">
        <v>80000</v>
      </c>
      <c r="K2" s="1"/>
    </row>
    <row r="3" spans="1:11" x14ac:dyDescent="0.25">
      <c r="A3" s="1">
        <v>7</v>
      </c>
      <c r="B3" s="1" t="s">
        <v>8</v>
      </c>
      <c r="C3" s="1" t="s">
        <v>32</v>
      </c>
      <c r="D3" s="1" t="s">
        <v>42</v>
      </c>
      <c r="E3" s="1">
        <v>21234</v>
      </c>
      <c r="F3" s="1" t="s">
        <v>15</v>
      </c>
      <c r="G3" s="1" t="s">
        <v>17</v>
      </c>
      <c r="H3" s="1" t="s">
        <v>21</v>
      </c>
      <c r="I3" s="1">
        <v>91</v>
      </c>
      <c r="J3" s="1">
        <v>78000</v>
      </c>
      <c r="K3" s="1"/>
    </row>
    <row r="4" spans="1:11" x14ac:dyDescent="0.25">
      <c r="A4" s="1">
        <v>10</v>
      </c>
      <c r="B4" s="1" t="s">
        <v>11</v>
      </c>
      <c r="C4" s="1" t="s">
        <v>35</v>
      </c>
      <c r="D4" s="1" t="s">
        <v>45</v>
      </c>
      <c r="E4" s="1">
        <v>51234</v>
      </c>
      <c r="F4" s="1" t="s">
        <v>14</v>
      </c>
      <c r="G4" s="1" t="s">
        <v>18</v>
      </c>
      <c r="H4" s="1" t="s">
        <v>23</v>
      </c>
      <c r="I4" s="1">
        <v>90</v>
      </c>
      <c r="J4" s="1">
        <v>87000</v>
      </c>
      <c r="K4" s="1"/>
    </row>
    <row r="5" spans="1:11" x14ac:dyDescent="0.25">
      <c r="A5" s="1">
        <v>1</v>
      </c>
      <c r="B5" s="1" t="s">
        <v>2</v>
      </c>
      <c r="C5" s="1" t="s">
        <v>26</v>
      </c>
      <c r="D5" s="1" t="s">
        <v>36</v>
      </c>
      <c r="E5" s="1">
        <v>12345</v>
      </c>
      <c r="F5" s="1" t="s">
        <v>14</v>
      </c>
      <c r="G5" s="1" t="s">
        <v>17</v>
      </c>
      <c r="H5" s="1" t="s">
        <v>21</v>
      </c>
      <c r="I5" s="1">
        <v>89</v>
      </c>
      <c r="J5" s="1">
        <v>65000</v>
      </c>
      <c r="K5" s="1"/>
    </row>
    <row r="6" spans="1:11" x14ac:dyDescent="0.25">
      <c r="A6" s="1">
        <v>8</v>
      </c>
      <c r="B6" s="1" t="s">
        <v>9</v>
      </c>
      <c r="C6" s="1" t="s">
        <v>33</v>
      </c>
      <c r="D6" s="1" t="s">
        <v>43</v>
      </c>
      <c r="E6" s="1">
        <v>31234</v>
      </c>
      <c r="F6" s="1" t="s">
        <v>14</v>
      </c>
      <c r="G6" s="1" t="s">
        <v>17</v>
      </c>
      <c r="H6" s="1" t="s">
        <v>21</v>
      </c>
      <c r="I6" s="1">
        <v>89</v>
      </c>
      <c r="J6" s="1">
        <v>66000</v>
      </c>
      <c r="K6" s="1"/>
    </row>
    <row r="7" spans="1:11" x14ac:dyDescent="0.25">
      <c r="A7" s="1">
        <v>3</v>
      </c>
      <c r="B7" s="1" t="s">
        <v>4</v>
      </c>
      <c r="C7" s="1" t="s">
        <v>28</v>
      </c>
      <c r="D7" s="1" t="s">
        <v>38</v>
      </c>
      <c r="E7" s="1">
        <v>34567</v>
      </c>
      <c r="F7" s="1" t="s">
        <v>15</v>
      </c>
      <c r="G7" s="1" t="s">
        <v>18</v>
      </c>
      <c r="H7" s="1" t="s">
        <v>21</v>
      </c>
      <c r="I7" s="1">
        <v>88</v>
      </c>
      <c r="J7" s="1">
        <v>56000</v>
      </c>
      <c r="K7" s="1"/>
    </row>
    <row r="8" spans="1:11" x14ac:dyDescent="0.25">
      <c r="A8" s="1">
        <v>4</v>
      </c>
      <c r="B8" s="1" t="s">
        <v>5</v>
      </c>
      <c r="C8" s="1" t="s">
        <v>29</v>
      </c>
      <c r="D8" s="1" t="s">
        <v>39</v>
      </c>
      <c r="E8" s="1">
        <v>45678</v>
      </c>
      <c r="F8" s="1" t="s">
        <v>14</v>
      </c>
      <c r="G8" s="1" t="s">
        <v>19</v>
      </c>
      <c r="H8" s="1" t="s">
        <v>22</v>
      </c>
      <c r="I8" s="1">
        <v>87</v>
      </c>
      <c r="J8" s="1">
        <v>89000</v>
      </c>
      <c r="K8" s="1"/>
    </row>
    <row r="9" spans="1:11" x14ac:dyDescent="0.25">
      <c r="A9" s="1">
        <v>9</v>
      </c>
      <c r="B9" s="1" t="s">
        <v>10</v>
      </c>
      <c r="C9" s="1" t="s">
        <v>34</v>
      </c>
      <c r="D9" s="1" t="s">
        <v>44</v>
      </c>
      <c r="E9" s="1">
        <v>41234</v>
      </c>
      <c r="F9" s="1" t="s">
        <v>14</v>
      </c>
      <c r="G9" s="1" t="s">
        <v>17</v>
      </c>
      <c r="H9" s="1" t="s">
        <v>21</v>
      </c>
      <c r="I9" s="1">
        <v>87</v>
      </c>
      <c r="J9" s="1">
        <v>65000</v>
      </c>
      <c r="K9" s="1"/>
    </row>
    <row r="10" spans="1:11" x14ac:dyDescent="0.25">
      <c r="A10" s="1">
        <v>5</v>
      </c>
      <c r="B10" s="1" t="s">
        <v>6</v>
      </c>
      <c r="C10" s="1" t="s">
        <v>30</v>
      </c>
      <c r="D10" s="1" t="s">
        <v>40</v>
      </c>
      <c r="E10" s="1">
        <v>56789</v>
      </c>
      <c r="F10" s="1" t="s">
        <v>15</v>
      </c>
      <c r="G10" s="1" t="s">
        <v>18</v>
      </c>
      <c r="H10" s="1" t="s">
        <v>23</v>
      </c>
      <c r="I10" s="1">
        <v>78</v>
      </c>
      <c r="J10" s="1">
        <v>67000</v>
      </c>
      <c r="K10" s="1"/>
    </row>
    <row r="11" spans="1:11" x14ac:dyDescent="0.25">
      <c r="A11" s="1">
        <v>2</v>
      </c>
      <c r="B11" s="1" t="s">
        <v>3</v>
      </c>
      <c r="C11" s="1" t="s">
        <v>27</v>
      </c>
      <c r="D11" s="1" t="s">
        <v>37</v>
      </c>
      <c r="E11" s="1">
        <v>23456</v>
      </c>
      <c r="F11" s="1" t="s">
        <v>14</v>
      </c>
      <c r="G11" s="1" t="s">
        <v>17</v>
      </c>
      <c r="H11" s="1" t="s">
        <v>21</v>
      </c>
      <c r="I11" s="1">
        <v>72</v>
      </c>
      <c r="J11" s="1">
        <v>76000</v>
      </c>
      <c r="K11" s="1"/>
    </row>
  </sheetData>
  <conditionalFormatting sqref="H2:H11">
    <cfRule type="containsText" dxfId="7" priority="6" operator="containsText" text="home office">
      <formula>NOT(ISERROR(SEARCH("home office",H2)))</formula>
    </cfRule>
    <cfRule type="containsText" dxfId="6" priority="7" operator="containsText" text="part time">
      <formula>NOT(ISERROR(SEARCH("part time",H2)))</formula>
    </cfRule>
    <cfRule type="containsText" dxfId="5" priority="8" operator="containsText" text="FULL TIME">
      <formula>NOT(ISERROR(SEARCH("FULL TIME",H2)))</formula>
    </cfRule>
  </conditionalFormatting>
  <conditionalFormatting sqref="I2:I11">
    <cfRule type="cellIs" dxfId="4" priority="1" operator="lessThan">
      <formula>80</formula>
    </cfRule>
    <cfRule type="cellIs" dxfId="3" priority="2" operator="lessThan">
      <formula>80</formula>
    </cfRule>
    <cfRule type="cellIs" dxfId="2" priority="3" operator="greaterThan">
      <formula>89</formula>
    </cfRule>
    <cfRule type="cellIs" dxfId="1" priority="4" operator="greaterThan">
      <formula>79</formula>
    </cfRule>
    <cfRule type="cellIs" dxfId="0" priority="5" operator="greaterThan">
      <formula>89</formula>
    </cfRule>
  </conditionalFormatting>
  <pageMargins left="0.7" right="0.7" top="0.75" bottom="0.75" header="0.3" footer="0.3"/>
  <pageSetup orientation="portrait" r:id="rId1"/>
  <headerFooter>
    <oddHeader>&amp;CEMPLOYEE SHEET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6B5A-4A11-4D6B-A6DE-1FD79861A981}">
  <dimension ref="A1:P15"/>
  <sheetViews>
    <sheetView topLeftCell="G1" workbookViewId="0">
      <selection sqref="A1:P11"/>
    </sheetView>
  </sheetViews>
  <sheetFormatPr defaultRowHeight="15" x14ac:dyDescent="0.25"/>
  <cols>
    <col min="1" max="1" width="11" bestFit="1" customWidth="1"/>
    <col min="2" max="2" width="17.5703125" bestFit="1" customWidth="1"/>
    <col min="3" max="3" width="17.42578125" bestFit="1" customWidth="1"/>
    <col min="4" max="4" width="17" bestFit="1" customWidth="1"/>
    <col min="5" max="5" width="14.5703125" bestFit="1" customWidth="1"/>
    <col min="6" max="6" width="14" customWidth="1"/>
    <col min="7" max="7" width="19.5703125" customWidth="1"/>
    <col min="8" max="8" width="22.7109375" bestFit="1" customWidth="1"/>
    <col min="9" max="9" width="17.140625" bestFit="1" customWidth="1"/>
    <col min="10" max="10" width="16.85546875" bestFit="1" customWidth="1"/>
    <col min="11" max="11" width="14" bestFit="1" customWidth="1"/>
    <col min="12" max="12" width="13.140625" customWidth="1"/>
    <col min="13" max="13" width="20.85546875" customWidth="1"/>
    <col min="14" max="14" width="17.7109375" customWidth="1"/>
    <col min="15" max="15" width="16.140625" customWidth="1"/>
    <col min="16" max="16" width="18" customWidth="1"/>
  </cols>
  <sheetData>
    <row r="1" spans="1:16" ht="15.75" x14ac:dyDescent="0.25">
      <c r="A1" s="2" t="s">
        <v>0</v>
      </c>
      <c r="B1" s="2" t="s">
        <v>1</v>
      </c>
      <c r="C1" s="2" t="s">
        <v>24</v>
      </c>
      <c r="D1" s="2" t="s">
        <v>25</v>
      </c>
      <c r="E1" s="2" t="s">
        <v>12</v>
      </c>
      <c r="F1" s="2" t="s">
        <v>13</v>
      </c>
      <c r="G1" s="2" t="s">
        <v>54</v>
      </c>
      <c r="H1" s="2" t="s">
        <v>16</v>
      </c>
      <c r="I1" s="2" t="s">
        <v>20</v>
      </c>
      <c r="J1" s="2" t="s">
        <v>46</v>
      </c>
      <c r="K1" s="2" t="s">
        <v>49</v>
      </c>
      <c r="L1" s="2" t="s">
        <v>48</v>
      </c>
      <c r="M1" s="2" t="s">
        <v>50</v>
      </c>
      <c r="N1" s="2" t="s">
        <v>51</v>
      </c>
      <c r="O1" s="2" t="s">
        <v>52</v>
      </c>
      <c r="P1" s="2" t="s">
        <v>53</v>
      </c>
    </row>
    <row r="2" spans="1:16" x14ac:dyDescent="0.25">
      <c r="A2" s="4">
        <v>1</v>
      </c>
      <c r="B2" s="4" t="s">
        <v>7</v>
      </c>
      <c r="C2" s="4" t="s">
        <v>31</v>
      </c>
      <c r="D2" s="4" t="s">
        <v>41</v>
      </c>
      <c r="E2" s="4">
        <v>67890</v>
      </c>
      <c r="F2" s="4" t="s">
        <v>15</v>
      </c>
      <c r="G2" s="4" t="s">
        <v>55</v>
      </c>
      <c r="H2" s="4" t="s">
        <v>19</v>
      </c>
      <c r="I2" s="4" t="s">
        <v>22</v>
      </c>
      <c r="J2" s="4">
        <v>98</v>
      </c>
      <c r="K2" s="4">
        <v>80000</v>
      </c>
      <c r="L2" s="4">
        <f>Table13[[#This Row],[SALARY]]*$L$14</f>
        <v>12000</v>
      </c>
      <c r="M2" s="4" t="str">
        <f>IF(Table13[[#This Row],[SALARY]]&gt;70000,"HIGH SALARY","LOW SALARY")</f>
        <v>HIGH SALARY</v>
      </c>
      <c r="N2" s="4">
        <f>IF(Table13[[#This Row],[SALARY]]*$L$14,Table13[[#This Row],[SALARY]]*$L$15)</f>
        <v>8000</v>
      </c>
      <c r="O2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2" s="4" t="str" cm="1">
        <f t="array" ref="P2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3" spans="1:16" x14ac:dyDescent="0.25">
      <c r="A3" s="4">
        <v>2</v>
      </c>
      <c r="B3" s="4" t="s">
        <v>8</v>
      </c>
      <c r="C3" s="4" t="s">
        <v>32</v>
      </c>
      <c r="D3" s="4" t="s">
        <v>42</v>
      </c>
      <c r="E3" s="4">
        <v>21234</v>
      </c>
      <c r="F3" s="4" t="s">
        <v>15</v>
      </c>
      <c r="G3" s="4" t="s">
        <v>56</v>
      </c>
      <c r="H3" s="4" t="s">
        <v>17</v>
      </c>
      <c r="I3" s="4" t="s">
        <v>21</v>
      </c>
      <c r="J3" s="4">
        <v>91</v>
      </c>
      <c r="K3" s="4">
        <v>78000</v>
      </c>
      <c r="L3" s="4">
        <f>Table13[[#This Row],[SALARY]]*$L$14</f>
        <v>11700</v>
      </c>
      <c r="M3" s="4" t="str">
        <f>IF(Table13[[#This Row],[SALARY]]&gt;70000,"HIGH SALARY","LOW SALARY")</f>
        <v>HIGH SALARY</v>
      </c>
      <c r="N3" s="4">
        <f>IF(Table13[[#This Row],[SALARY]]*$L$14,Table13[[#This Row],[SALARY]]*$L$15)</f>
        <v>7800</v>
      </c>
      <c r="O3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3" s="4" t="str" cm="1">
        <f t="array" ref="P3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4" spans="1:16" x14ac:dyDescent="0.25">
      <c r="A4" s="4">
        <v>3</v>
      </c>
      <c r="B4" s="4" t="s">
        <v>11</v>
      </c>
      <c r="C4" s="4" t="s">
        <v>35</v>
      </c>
      <c r="D4" s="4" t="s">
        <v>45</v>
      </c>
      <c r="E4" s="4">
        <v>51234</v>
      </c>
      <c r="F4" s="4" t="s">
        <v>14</v>
      </c>
      <c r="G4" s="4" t="s">
        <v>55</v>
      </c>
      <c r="H4" s="4" t="s">
        <v>18</v>
      </c>
      <c r="I4" s="4" t="s">
        <v>23</v>
      </c>
      <c r="J4" s="4">
        <v>90</v>
      </c>
      <c r="K4" s="4">
        <v>87000</v>
      </c>
      <c r="L4" s="4">
        <f>Table13[[#This Row],[SALARY]]*$L$14</f>
        <v>13050</v>
      </c>
      <c r="M4" s="4" t="str">
        <f>IF(Table13[[#This Row],[SALARY]]&gt;70000,"HIGH SALARY","LOW SALARY")</f>
        <v>HIGH SALARY</v>
      </c>
      <c r="N4" s="4">
        <f>IF(Table13[[#This Row],[SALARY]]*$L$14,Table13[[#This Row],[SALARY]]*$L$15)</f>
        <v>8700</v>
      </c>
      <c r="O4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4" s="4" t="str" cm="1">
        <f t="array" ref="P4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MODERATE SALARY</v>
      </c>
    </row>
    <row r="5" spans="1:16" x14ac:dyDescent="0.25">
      <c r="A5" s="4">
        <v>4</v>
      </c>
      <c r="B5" s="4" t="s">
        <v>2</v>
      </c>
      <c r="C5" s="4" t="s">
        <v>26</v>
      </c>
      <c r="D5" s="4" t="s">
        <v>36</v>
      </c>
      <c r="E5" s="4">
        <v>12345</v>
      </c>
      <c r="F5" s="4" t="s">
        <v>14</v>
      </c>
      <c r="G5" s="4" t="s">
        <v>57</v>
      </c>
      <c r="H5" s="4" t="s">
        <v>17</v>
      </c>
      <c r="I5" s="4" t="s">
        <v>21</v>
      </c>
      <c r="J5" s="4">
        <v>89</v>
      </c>
      <c r="K5" s="4">
        <v>65000</v>
      </c>
      <c r="L5" s="4">
        <f>Table13[[#This Row],[SALARY]]*$L$14</f>
        <v>9750</v>
      </c>
      <c r="M5" s="4" t="str">
        <f>IF(Table13[[#This Row],[SALARY]]&gt;70000,"HIGH SALARY","LOW SALARY")</f>
        <v>LOW SALARY</v>
      </c>
      <c r="N5" s="4">
        <f>IF(Table13[[#This Row],[SALARY]]*$L$14,Table13[[#This Row],[SALARY]]*$L$15)</f>
        <v>6500</v>
      </c>
      <c r="O5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5" s="4" t="str" cm="1">
        <f t="array" ref="P5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6" spans="1:16" x14ac:dyDescent="0.25">
      <c r="A6" s="4">
        <v>5</v>
      </c>
      <c r="B6" s="4" t="s">
        <v>9</v>
      </c>
      <c r="C6" s="4" t="s">
        <v>33</v>
      </c>
      <c r="D6" s="4" t="s">
        <v>43</v>
      </c>
      <c r="E6" s="4">
        <v>31234</v>
      </c>
      <c r="F6" s="4" t="s">
        <v>14</v>
      </c>
      <c r="G6" s="4" t="s">
        <v>58</v>
      </c>
      <c r="H6" s="4" t="s">
        <v>17</v>
      </c>
      <c r="I6" s="4" t="s">
        <v>21</v>
      </c>
      <c r="J6" s="4">
        <v>89</v>
      </c>
      <c r="K6" s="4">
        <v>66000</v>
      </c>
      <c r="L6" s="4">
        <f>Table13[[#This Row],[SALARY]]*$L$14</f>
        <v>9900</v>
      </c>
      <c r="M6" s="4" t="str">
        <f>IF(Table13[[#This Row],[SALARY]]&gt;70000,"HIGH SALARY","LOW SALARY")</f>
        <v>LOW SALARY</v>
      </c>
      <c r="N6" s="4">
        <f>IF(Table13[[#This Row],[SALARY]]*$L$14,Table13[[#This Row],[SALARY]]*$L$15)</f>
        <v>6600</v>
      </c>
      <c r="O6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6" s="4" t="str" cm="1">
        <f t="array" ref="P6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7" spans="1:16" x14ac:dyDescent="0.25">
      <c r="A7" s="4">
        <v>6</v>
      </c>
      <c r="B7" s="4" t="s">
        <v>4</v>
      </c>
      <c r="C7" s="4" t="s">
        <v>28</v>
      </c>
      <c r="D7" s="4" t="s">
        <v>38</v>
      </c>
      <c r="E7" s="4">
        <v>34567</v>
      </c>
      <c r="F7" s="4" t="s">
        <v>15</v>
      </c>
      <c r="G7" s="4" t="s">
        <v>55</v>
      </c>
      <c r="H7" s="4" t="s">
        <v>18</v>
      </c>
      <c r="I7" s="4" t="s">
        <v>21</v>
      </c>
      <c r="J7" s="4">
        <v>88</v>
      </c>
      <c r="K7" s="4">
        <v>56000</v>
      </c>
      <c r="L7" s="4">
        <f>Table13[[#This Row],[SALARY]]*$L$14</f>
        <v>8400</v>
      </c>
      <c r="M7" s="4" t="str">
        <f>IF(Table13[[#This Row],[SALARY]]&gt;70000,"HIGH SALARY","LOW SALARY")</f>
        <v>LOW SALARY</v>
      </c>
      <c r="N7" s="4">
        <f>IF(Table13[[#This Row],[SALARY]]*$L$14,Table13[[#This Row],[SALARY]]*$L$15)</f>
        <v>5600</v>
      </c>
      <c r="O7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7" s="4" t="str" cm="1">
        <f t="array" ref="P7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8" spans="1:16" x14ac:dyDescent="0.25">
      <c r="A8" s="4">
        <v>7</v>
      </c>
      <c r="B8" s="4" t="s">
        <v>5</v>
      </c>
      <c r="C8" s="4" t="s">
        <v>29</v>
      </c>
      <c r="D8" s="4" t="s">
        <v>39</v>
      </c>
      <c r="E8" s="4">
        <v>45678</v>
      </c>
      <c r="F8" s="4" t="s">
        <v>14</v>
      </c>
      <c r="G8" s="4" t="s">
        <v>59</v>
      </c>
      <c r="H8" s="4" t="s">
        <v>19</v>
      </c>
      <c r="I8" s="4" t="s">
        <v>22</v>
      </c>
      <c r="J8" s="4">
        <v>87</v>
      </c>
      <c r="K8" s="4">
        <v>89000</v>
      </c>
      <c r="L8" s="4">
        <f>Table13[[#This Row],[SALARY]]*$L$14</f>
        <v>13350</v>
      </c>
      <c r="M8" s="4" t="str">
        <f>IF(Table13[[#This Row],[SALARY]]&gt;70000,"HIGH SALARY","LOW SALARY")</f>
        <v>HIGH SALARY</v>
      </c>
      <c r="N8" s="4">
        <f>IF(Table13[[#This Row],[SALARY]]*$L$14,Table13[[#This Row],[SALARY]]*$L$15)</f>
        <v>8900</v>
      </c>
      <c r="O8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8" s="4" t="str" cm="1">
        <f t="array" ref="P8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MODERATE SALARY</v>
      </c>
    </row>
    <row r="9" spans="1:16" x14ac:dyDescent="0.25">
      <c r="A9" s="4">
        <v>8</v>
      </c>
      <c r="B9" s="4" t="s">
        <v>10</v>
      </c>
      <c r="C9" s="4" t="s">
        <v>34</v>
      </c>
      <c r="D9" s="4" t="s">
        <v>44</v>
      </c>
      <c r="E9" s="4">
        <v>41234</v>
      </c>
      <c r="F9" s="4" t="s">
        <v>14</v>
      </c>
      <c r="G9" s="4" t="s">
        <v>57</v>
      </c>
      <c r="H9" s="4" t="s">
        <v>17</v>
      </c>
      <c r="I9" s="4" t="s">
        <v>21</v>
      </c>
      <c r="J9" s="4">
        <v>87</v>
      </c>
      <c r="K9" s="4">
        <v>65000</v>
      </c>
      <c r="L9" s="4">
        <f>Table13[[#This Row],[SALARY]]*$L$14</f>
        <v>9750</v>
      </c>
      <c r="M9" s="4" t="str">
        <f>IF(Table13[[#This Row],[SALARY]]&gt;70000,"HIGH SALARY","LOW SALARY")</f>
        <v>LOW SALARY</v>
      </c>
      <c r="N9" s="4">
        <f>IF(Table13[[#This Row],[SALARY]]*$L$14,Table13[[#This Row],[SALARY]]*$L$15)</f>
        <v>6500</v>
      </c>
      <c r="O9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9" s="4" t="str" cm="1">
        <f t="array" ref="P9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10" spans="1:16" x14ac:dyDescent="0.25">
      <c r="A10" s="4">
        <v>9</v>
      </c>
      <c r="B10" s="4" t="s">
        <v>6</v>
      </c>
      <c r="C10" s="4" t="s">
        <v>30</v>
      </c>
      <c r="D10" s="4" t="s">
        <v>40</v>
      </c>
      <c r="E10" s="4">
        <v>56789</v>
      </c>
      <c r="F10" s="4" t="s">
        <v>15</v>
      </c>
      <c r="G10" s="4" t="s">
        <v>59</v>
      </c>
      <c r="H10" s="4" t="s">
        <v>18</v>
      </c>
      <c r="I10" s="4" t="s">
        <v>23</v>
      </c>
      <c r="J10" s="4">
        <v>78</v>
      </c>
      <c r="K10" s="4">
        <v>67000</v>
      </c>
      <c r="L10" s="4">
        <f>Table13[[#This Row],[SALARY]]*$L$14</f>
        <v>10050</v>
      </c>
      <c r="M10" s="4" t="str">
        <f>IF(Table13[[#This Row],[SALARY]]&gt;70000,"HIGH SALARY","LOW SALARY")</f>
        <v>LOW SALARY</v>
      </c>
      <c r="N10" s="4">
        <f>IF(Table13[[#This Row],[SALARY]]*$L$14,Table13[[#This Row],[SALARY]]*$L$15)</f>
        <v>6700</v>
      </c>
      <c r="O10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10" s="4" t="str" cm="1">
        <f t="array" ref="P10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11" spans="1:16" x14ac:dyDescent="0.25">
      <c r="A11" s="4">
        <v>10</v>
      </c>
      <c r="B11" s="4" t="s">
        <v>3</v>
      </c>
      <c r="C11" s="4" t="s">
        <v>27</v>
      </c>
      <c r="D11" s="4" t="s">
        <v>37</v>
      </c>
      <c r="E11" s="4">
        <v>23456</v>
      </c>
      <c r="F11" s="4" t="s">
        <v>14</v>
      </c>
      <c r="G11" s="4" t="s">
        <v>58</v>
      </c>
      <c r="H11" s="4" t="s">
        <v>17</v>
      </c>
      <c r="I11" s="4" t="s">
        <v>21</v>
      </c>
      <c r="J11" s="4">
        <v>72</v>
      </c>
      <c r="K11" s="4">
        <v>76000</v>
      </c>
      <c r="L11" s="4">
        <f>Table13[[#This Row],[SALARY]]*$L$14</f>
        <v>11400</v>
      </c>
      <c r="M11" s="4" t="str">
        <f>IF(Table13[[#This Row],[SALARY]]&gt;70000,"HIGH SALARY","LOW SALARY")</f>
        <v>HIGH SALARY</v>
      </c>
      <c r="N11" s="4">
        <f>IF(Table13[[#This Row],[SALARY]]*$L$14,Table13[[#This Row],[SALARY]]*$L$15)</f>
        <v>7600</v>
      </c>
      <c r="O11" s="4" t="str">
        <f>IF(Table13[[#This Row],[SALARY]]&gt;120000,"EXTREME HIGHEST SALARY",IF(Table13[[#This Row],[SALARY]]&gt;10000,"HIGH SALARY",IF(Table13[[#This Row],[SALARY]]&gt;80000,"MODERATE SALARY",IF(Table13[[#This Row],[SALARY]]&gt;60000,"LOW MODERATE SALARY","BELOW SALARY"))))</f>
        <v>HIGH SALARY</v>
      </c>
      <c r="P11" s="4" t="str" cm="1">
        <f t="array" ref="P11">_xlfn.IFS(Table13[[#This Row],[SALARY]]&gt;120000,"EXTREME HIGH",Table13[[#This Row],[SALARY]]&gt;100000,"HIGH SALARY",Table13[[#This Row],[SALARY]]&gt;80000,"MODERATE SALARY",Table13[[#This Row],[SALARY]]&gt;6000,"BELOW MODERATE",Table13[[#This Row],[SALARY]]&lt;=60000,"LOW SALARY")</f>
        <v>BELOW MODERATE</v>
      </c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>
        <f>SUM(Table13[SALARY])</f>
        <v>729000</v>
      </c>
      <c r="L12" s="4"/>
      <c r="M12" s="4"/>
      <c r="N12" s="4"/>
      <c r="O12" s="4"/>
      <c r="P12" s="4"/>
    </row>
    <row r="13" spans="1:16" x14ac:dyDescent="0.25">
      <c r="K13">
        <f>SUMIF(Table13[SALARY],"&gt;70000")</f>
        <v>410000</v>
      </c>
    </row>
    <row r="14" spans="1:16" x14ac:dyDescent="0.25">
      <c r="K14">
        <f>SUMIFS(Table13[SALARY],Table13[DEPARTMENT],"IT",Table13[GENDER],"MALE")</f>
        <v>136000</v>
      </c>
      <c r="L14">
        <v>0.15</v>
      </c>
    </row>
    <row r="15" spans="1:16" x14ac:dyDescent="0.25">
      <c r="K15">
        <f>AVERAGEIFS(Table13[SALARY],Table13[DEPARTMENT],"MARKETING",Table13[GENDER],"FEMALE")</f>
        <v>65000</v>
      </c>
      <c r="L15">
        <v>0.1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06C-8991-4AD3-BAEB-5D69AC234815}">
  <dimension ref="A1:G11"/>
  <sheetViews>
    <sheetView topLeftCell="A4" workbookViewId="0">
      <selection activeCell="M1" sqref="M1"/>
    </sheetView>
  </sheetViews>
  <sheetFormatPr defaultRowHeight="15" x14ac:dyDescent="0.25"/>
  <cols>
    <col min="1" max="1" width="6.42578125" bestFit="1" customWidth="1"/>
    <col min="2" max="2" width="17.5703125" bestFit="1" customWidth="1"/>
    <col min="3" max="3" width="10" bestFit="1" customWidth="1"/>
    <col min="4" max="4" width="9" bestFit="1" customWidth="1"/>
    <col min="5" max="5" width="14.7109375" bestFit="1" customWidth="1"/>
    <col min="6" max="6" width="22.85546875" customWidth="1"/>
    <col min="7" max="7" width="14.85546875" customWidth="1"/>
  </cols>
  <sheetData>
    <row r="1" spans="1:7" ht="15.75" x14ac:dyDescent="0.25">
      <c r="A1" s="2" t="s">
        <v>0</v>
      </c>
      <c r="B1" s="2" t="s">
        <v>1</v>
      </c>
      <c r="C1" s="2" t="s">
        <v>12</v>
      </c>
      <c r="D1" s="2" t="s">
        <v>13</v>
      </c>
      <c r="E1" s="2" t="s">
        <v>54</v>
      </c>
      <c r="F1" s="2" t="s">
        <v>60</v>
      </c>
      <c r="G1" s="2" t="s">
        <v>61</v>
      </c>
    </row>
    <row r="2" spans="1:7" x14ac:dyDescent="0.25">
      <c r="A2" s="5">
        <v>1</v>
      </c>
      <c r="B2" s="5" t="s">
        <v>7</v>
      </c>
      <c r="C2" s="5">
        <v>67890</v>
      </c>
      <c r="D2" s="5" t="s">
        <v>15</v>
      </c>
      <c r="E2" s="5" t="s">
        <v>55</v>
      </c>
      <c r="F2" s="5" t="str">
        <f>_xlfn.CONCAT(B2,"-",C2)</f>
        <v>AYUSH BHISE-67890</v>
      </c>
      <c r="G2">
        <f>LEN(B2)</f>
        <v>11</v>
      </c>
    </row>
    <row r="3" spans="1:7" x14ac:dyDescent="0.25">
      <c r="A3" s="4">
        <v>2</v>
      </c>
      <c r="B3" s="4" t="s">
        <v>8</v>
      </c>
      <c r="C3" s="4">
        <v>21234</v>
      </c>
      <c r="D3" s="4" t="s">
        <v>15</v>
      </c>
      <c r="E3" s="4" t="s">
        <v>56</v>
      </c>
      <c r="F3" s="5" t="str">
        <f t="shared" ref="F3:F11" si="0">_xlfn.CONCAT(B3,"-",C3)</f>
        <v>VAIBHAV SALVE-21234</v>
      </c>
      <c r="G3">
        <f t="shared" ref="G3:G11" si="1">LEN(B3)</f>
        <v>13</v>
      </c>
    </row>
    <row r="4" spans="1:7" x14ac:dyDescent="0.25">
      <c r="A4" s="5">
        <v>3</v>
      </c>
      <c r="B4" s="5" t="s">
        <v>11</v>
      </c>
      <c r="C4" s="5">
        <v>51234</v>
      </c>
      <c r="D4" s="5" t="s">
        <v>14</v>
      </c>
      <c r="E4" s="5" t="s">
        <v>55</v>
      </c>
      <c r="F4" s="5" t="str">
        <f t="shared" si="0"/>
        <v>SWATI DANGE-51234</v>
      </c>
      <c r="G4">
        <f t="shared" si="1"/>
        <v>11</v>
      </c>
    </row>
    <row r="5" spans="1:7" x14ac:dyDescent="0.25">
      <c r="A5" s="4">
        <v>4</v>
      </c>
      <c r="B5" s="4" t="s">
        <v>2</v>
      </c>
      <c r="C5" s="4">
        <v>12345</v>
      </c>
      <c r="D5" s="4" t="s">
        <v>14</v>
      </c>
      <c r="E5" s="4" t="s">
        <v>57</v>
      </c>
      <c r="F5" s="5" t="str">
        <f t="shared" si="0"/>
        <v>PALLAVI TARONE-12345</v>
      </c>
      <c r="G5">
        <f t="shared" si="1"/>
        <v>14</v>
      </c>
    </row>
    <row r="6" spans="1:7" x14ac:dyDescent="0.25">
      <c r="A6" s="5">
        <v>5</v>
      </c>
      <c r="B6" s="5" t="s">
        <v>9</v>
      </c>
      <c r="C6" s="5">
        <v>31234</v>
      </c>
      <c r="D6" s="5" t="s">
        <v>14</v>
      </c>
      <c r="E6" s="5" t="s">
        <v>58</v>
      </c>
      <c r="F6" s="5" t="str">
        <f t="shared" si="0"/>
        <v>TANUSHRI MORE-31234</v>
      </c>
      <c r="G6">
        <f t="shared" si="1"/>
        <v>13</v>
      </c>
    </row>
    <row r="7" spans="1:7" x14ac:dyDescent="0.25">
      <c r="A7" s="4">
        <v>6</v>
      </c>
      <c r="B7" s="4" t="s">
        <v>4</v>
      </c>
      <c r="C7" s="4">
        <v>34567</v>
      </c>
      <c r="D7" s="4" t="s">
        <v>15</v>
      </c>
      <c r="E7" s="4" t="s">
        <v>55</v>
      </c>
      <c r="F7" s="5" t="str">
        <f t="shared" si="0"/>
        <v>TUSHAR ZADE-34567</v>
      </c>
      <c r="G7">
        <f t="shared" si="1"/>
        <v>11</v>
      </c>
    </row>
    <row r="8" spans="1:7" x14ac:dyDescent="0.25">
      <c r="A8" s="5">
        <v>7</v>
      </c>
      <c r="B8" s="5" t="s">
        <v>5</v>
      </c>
      <c r="C8" s="5">
        <v>45678</v>
      </c>
      <c r="D8" s="5" t="s">
        <v>14</v>
      </c>
      <c r="E8" s="5" t="s">
        <v>59</v>
      </c>
      <c r="F8" s="5" t="str">
        <f t="shared" si="0"/>
        <v>CHANCHAL GOKHE-45678</v>
      </c>
      <c r="G8">
        <f t="shared" si="1"/>
        <v>14</v>
      </c>
    </row>
    <row r="9" spans="1:7" x14ac:dyDescent="0.25">
      <c r="A9" s="4">
        <v>8</v>
      </c>
      <c r="B9" s="4" t="s">
        <v>10</v>
      </c>
      <c r="C9" s="4">
        <v>41234</v>
      </c>
      <c r="D9" s="4" t="s">
        <v>14</v>
      </c>
      <c r="E9" s="4" t="s">
        <v>57</v>
      </c>
      <c r="F9" s="5" t="str">
        <f t="shared" si="0"/>
        <v>KALYANI SHENDE-41234</v>
      </c>
      <c r="G9">
        <f t="shared" si="1"/>
        <v>14</v>
      </c>
    </row>
    <row r="10" spans="1:7" x14ac:dyDescent="0.25">
      <c r="A10" s="5">
        <v>9</v>
      </c>
      <c r="B10" s="5" t="s">
        <v>6</v>
      </c>
      <c r="C10" s="5">
        <v>56789</v>
      </c>
      <c r="D10" s="5" t="s">
        <v>15</v>
      </c>
      <c r="E10" s="5" t="s">
        <v>59</v>
      </c>
      <c r="F10" s="5" t="str">
        <f t="shared" si="0"/>
        <v>BUNTY KORE-56789</v>
      </c>
      <c r="G10">
        <f t="shared" si="1"/>
        <v>10</v>
      </c>
    </row>
    <row r="11" spans="1:7" x14ac:dyDescent="0.25">
      <c r="A11" s="4">
        <v>10</v>
      </c>
      <c r="B11" s="4" t="s">
        <v>3</v>
      </c>
      <c r="C11" s="4">
        <v>23456</v>
      </c>
      <c r="D11" s="4" t="s">
        <v>14</v>
      </c>
      <c r="E11" s="4" t="s">
        <v>58</v>
      </c>
      <c r="F11" s="5" t="str">
        <f t="shared" si="0"/>
        <v>RUTUJA BHAGAT-23456</v>
      </c>
      <c r="G11">
        <f t="shared" si="1"/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8ED8-763A-4744-88FB-78E6B44A71E1}">
  <dimension ref="A1:K11"/>
  <sheetViews>
    <sheetView tabSelected="1" workbookViewId="0">
      <selection activeCell="I14" sqref="I14"/>
    </sheetView>
  </sheetViews>
  <sheetFormatPr defaultRowHeight="15" x14ac:dyDescent="0.25"/>
  <cols>
    <col min="1" max="1" width="6.42578125" bestFit="1" customWidth="1"/>
    <col min="2" max="2" width="17.5703125" bestFit="1" customWidth="1"/>
    <col min="3" max="3" width="12.85546875" bestFit="1" customWidth="1"/>
    <col min="4" max="4" width="12.42578125" bestFit="1" customWidth="1"/>
    <col min="5" max="5" width="10" bestFit="1" customWidth="1"/>
    <col min="6" max="6" width="9" bestFit="1" customWidth="1"/>
    <col min="7" max="7" width="14.7109375" bestFit="1" customWidth="1"/>
    <col min="8" max="8" width="22.7109375" bestFit="1" customWidth="1"/>
    <col min="9" max="9" width="13.140625" bestFit="1" customWidth="1"/>
    <col min="10" max="10" width="12.28515625" bestFit="1" customWidth="1"/>
    <col min="11" max="11" width="8.42578125" bestFit="1" customWidth="1"/>
    <col min="12" max="12" width="8" bestFit="1" customWidth="1"/>
    <col min="13" max="13" width="14.7109375" bestFit="1" customWidth="1"/>
    <col min="14" max="14" width="13.5703125" bestFit="1" customWidth="1"/>
    <col min="15" max="15" width="12.7109375" bestFit="1" customWidth="1"/>
    <col min="16" max="16" width="18.140625" bestFit="1" customWidth="1"/>
  </cols>
  <sheetData>
    <row r="1" spans="1:11" ht="15.75" x14ac:dyDescent="0.25">
      <c r="A1" s="6" t="s">
        <v>0</v>
      </c>
      <c r="B1" s="7" t="s">
        <v>1</v>
      </c>
      <c r="C1" s="7" t="s">
        <v>24</v>
      </c>
      <c r="D1" s="7" t="s">
        <v>25</v>
      </c>
      <c r="E1" s="7" t="s">
        <v>12</v>
      </c>
      <c r="F1" s="7" t="s">
        <v>13</v>
      </c>
      <c r="G1" s="7" t="s">
        <v>54</v>
      </c>
      <c r="H1" s="7" t="s">
        <v>16</v>
      </c>
      <c r="I1" s="7" t="s">
        <v>20</v>
      </c>
    </row>
    <row r="2" spans="1:11" x14ac:dyDescent="0.25">
      <c r="A2" s="8">
        <v>1</v>
      </c>
      <c r="B2" s="9" t="s">
        <v>7</v>
      </c>
      <c r="C2" s="9" t="s">
        <v>31</v>
      </c>
      <c r="D2" s="9" t="s">
        <v>41</v>
      </c>
      <c r="E2" s="9">
        <v>67890</v>
      </c>
      <c r="F2" s="9" t="s">
        <v>15</v>
      </c>
      <c r="G2" s="9" t="s">
        <v>55</v>
      </c>
      <c r="H2" s="9" t="s">
        <v>19</v>
      </c>
      <c r="I2" s="9" t="s">
        <v>22</v>
      </c>
    </row>
    <row r="3" spans="1:11" x14ac:dyDescent="0.25">
      <c r="A3" s="10">
        <v>2</v>
      </c>
      <c r="B3" s="11" t="s">
        <v>8</v>
      </c>
      <c r="C3" s="11" t="s">
        <v>32</v>
      </c>
      <c r="D3" s="11" t="s">
        <v>42</v>
      </c>
      <c r="E3" s="11">
        <v>21234</v>
      </c>
      <c r="F3" s="11" t="s">
        <v>15</v>
      </c>
      <c r="G3" s="11" t="s">
        <v>56</v>
      </c>
      <c r="H3" s="11" t="s">
        <v>17</v>
      </c>
      <c r="I3" s="11" t="s">
        <v>21</v>
      </c>
    </row>
    <row r="4" spans="1:11" x14ac:dyDescent="0.25">
      <c r="A4" s="8">
        <v>3</v>
      </c>
      <c r="B4" s="9" t="s">
        <v>11</v>
      </c>
      <c r="C4" s="9" t="s">
        <v>35</v>
      </c>
      <c r="D4" s="9" t="s">
        <v>45</v>
      </c>
      <c r="E4" s="9">
        <v>51234</v>
      </c>
      <c r="F4" s="9" t="s">
        <v>14</v>
      </c>
      <c r="G4" s="9" t="s">
        <v>55</v>
      </c>
      <c r="H4" s="9" t="s">
        <v>18</v>
      </c>
      <c r="I4" s="9" t="s">
        <v>23</v>
      </c>
    </row>
    <row r="5" spans="1:11" x14ac:dyDescent="0.25">
      <c r="A5" s="10">
        <v>4</v>
      </c>
      <c r="B5" s="11" t="s">
        <v>2</v>
      </c>
      <c r="C5" s="11" t="s">
        <v>26</v>
      </c>
      <c r="D5" s="11" t="s">
        <v>36</v>
      </c>
      <c r="E5" s="11">
        <v>12345</v>
      </c>
      <c r="F5" s="11" t="s">
        <v>14</v>
      </c>
      <c r="G5" s="11" t="s">
        <v>57</v>
      </c>
      <c r="H5" s="11" t="s">
        <v>17</v>
      </c>
      <c r="I5" s="11" t="s">
        <v>21</v>
      </c>
      <c r="J5" s="12" t="s">
        <v>62</v>
      </c>
    </row>
    <row r="6" spans="1:11" x14ac:dyDescent="0.25">
      <c r="A6" s="8">
        <v>5</v>
      </c>
      <c r="B6" s="9" t="s">
        <v>9</v>
      </c>
      <c r="C6" s="9" t="s">
        <v>33</v>
      </c>
      <c r="D6" s="9" t="s">
        <v>43</v>
      </c>
      <c r="E6" s="9">
        <v>31234</v>
      </c>
      <c r="F6" s="9" t="s">
        <v>14</v>
      </c>
      <c r="G6" s="9" t="s">
        <v>58</v>
      </c>
      <c r="H6" s="9" t="s">
        <v>17</v>
      </c>
      <c r="I6" s="9" t="s">
        <v>21</v>
      </c>
    </row>
    <row r="7" spans="1:11" x14ac:dyDescent="0.25">
      <c r="A7" s="10">
        <v>6</v>
      </c>
      <c r="B7" s="11" t="s">
        <v>4</v>
      </c>
      <c r="C7" s="11" t="s">
        <v>28</v>
      </c>
      <c r="D7" s="11" t="s">
        <v>38</v>
      </c>
      <c r="E7" s="11">
        <v>34567</v>
      </c>
      <c r="F7" s="11" t="s">
        <v>15</v>
      </c>
      <c r="G7" s="11" t="s">
        <v>55</v>
      </c>
      <c r="H7" s="11" t="s">
        <v>18</v>
      </c>
      <c r="I7" s="11" t="s">
        <v>21</v>
      </c>
    </row>
    <row r="8" spans="1:11" x14ac:dyDescent="0.25">
      <c r="A8" s="8">
        <v>7</v>
      </c>
      <c r="B8" s="9" t="s">
        <v>5</v>
      </c>
      <c r="C8" s="9" t="s">
        <v>29</v>
      </c>
      <c r="D8" s="9" t="s">
        <v>39</v>
      </c>
      <c r="E8" s="9">
        <v>45678</v>
      </c>
      <c r="F8" s="9" t="s">
        <v>14</v>
      </c>
      <c r="G8" s="9" t="s">
        <v>59</v>
      </c>
      <c r="H8" s="9" t="s">
        <v>19</v>
      </c>
      <c r="I8" s="9" t="s">
        <v>22</v>
      </c>
      <c r="K8" t="str">
        <f>VLOOKUP(E5,A1:G11,7,TRUE)</f>
        <v>SALES</v>
      </c>
    </row>
    <row r="9" spans="1:11" x14ac:dyDescent="0.25">
      <c r="A9" s="10">
        <v>8</v>
      </c>
      <c r="B9" s="11" t="s">
        <v>10</v>
      </c>
      <c r="C9" s="11" t="s">
        <v>34</v>
      </c>
      <c r="D9" s="11" t="s">
        <v>44</v>
      </c>
      <c r="E9" s="11">
        <v>41234</v>
      </c>
      <c r="F9" s="11" t="s">
        <v>14</v>
      </c>
      <c r="G9" s="11" t="s">
        <v>57</v>
      </c>
      <c r="H9" s="11" t="s">
        <v>17</v>
      </c>
      <c r="I9" s="11" t="s">
        <v>21</v>
      </c>
    </row>
    <row r="10" spans="1:11" x14ac:dyDescent="0.25">
      <c r="A10" s="8">
        <v>9</v>
      </c>
      <c r="B10" s="9" t="s">
        <v>6</v>
      </c>
      <c r="C10" s="9" t="s">
        <v>30</v>
      </c>
      <c r="D10" s="9" t="s">
        <v>40</v>
      </c>
      <c r="E10" s="9">
        <v>56789</v>
      </c>
      <c r="F10" s="9" t="s">
        <v>15</v>
      </c>
      <c r="G10" s="9" t="s">
        <v>59</v>
      </c>
      <c r="H10" s="9" t="s">
        <v>18</v>
      </c>
      <c r="I10" s="9" t="s">
        <v>23</v>
      </c>
    </row>
    <row r="11" spans="1:11" x14ac:dyDescent="0.25">
      <c r="A11" s="10">
        <v>10</v>
      </c>
      <c r="B11" s="11" t="s">
        <v>3</v>
      </c>
      <c r="C11" s="11" t="s">
        <v>27</v>
      </c>
      <c r="D11" s="11" t="s">
        <v>37</v>
      </c>
      <c r="E11" s="11">
        <v>23456</v>
      </c>
      <c r="F11" s="11" t="s">
        <v>14</v>
      </c>
      <c r="G11" s="11" t="s">
        <v>58</v>
      </c>
      <c r="H11" s="11" t="s">
        <v>17</v>
      </c>
      <c r="I11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Tarone</dc:creator>
  <cp:lastModifiedBy>Pallavi Tarone</cp:lastModifiedBy>
  <dcterms:created xsi:type="dcterms:W3CDTF">2026-09-11T13:09:01Z</dcterms:created>
  <dcterms:modified xsi:type="dcterms:W3CDTF">2026-09-23T16:43:15Z</dcterms:modified>
</cp:coreProperties>
</file>